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UnitEconomics" sheetId="6" state="visible" r:id="rId6"/>
    <sheet xmlns:r="http://schemas.openxmlformats.org/officeDocument/2006/relationships" name="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0.0%"/>
    <numFmt numFmtId="166" formatCode="0.0"/>
    <numFmt numFmtId="167" formatCode="0.0x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color rgb="00000000"/>
    </font>
    <font>
      <color rgb="000070C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OORU LOGIX — YEAR 1 FINANCIAL DASHBOARD</t>
        </is>
      </c>
    </row>
    <row r="3">
      <c r="A3" s="2" t="inlineStr">
        <is>
          <t>Total Revenue (12 months)</t>
        </is>
      </c>
      <c r="B3" s="3">
        <f>Revenue!B14</f>
        <v/>
      </c>
    </row>
    <row r="4">
      <c r="A4" s="2" t="inlineStr">
        <is>
          <t>Total Gross Profit</t>
        </is>
      </c>
      <c r="B4" s="3">
        <f>P&amp;L!B14</f>
        <v/>
      </c>
    </row>
    <row r="5">
      <c r="A5" s="2" t="inlineStr">
        <is>
          <t>Gross Margin %</t>
        </is>
      </c>
      <c r="B5" s="4">
        <f>P&amp;L!C14</f>
        <v/>
      </c>
    </row>
    <row r="6">
      <c r="A6" s="2" t="inlineStr">
        <is>
          <t>EBITDA (12 months)</t>
        </is>
      </c>
      <c r="B6" s="3">
        <f>P&amp;L!E14</f>
        <v/>
      </c>
    </row>
    <row r="7">
      <c r="A7" s="2" t="inlineStr">
        <is>
          <t>Closing Cash Balance</t>
        </is>
      </c>
      <c r="B7" s="3">
        <f>CashFlow!G14</f>
        <v/>
      </c>
    </row>
    <row r="8">
      <c r="A8" s="2" t="inlineStr">
        <is>
          <t>Units Sold (ShopSense)</t>
        </is>
      </c>
      <c r="B8" s="5">
        <f>Revenue!D14</f>
        <v/>
      </c>
    </row>
    <row r="9">
      <c r="A9" s="2" t="inlineStr">
        <is>
          <t>Web Design Deals Closed</t>
        </is>
      </c>
      <c r="B9" s="5">
        <f>Revenue!E14</f>
        <v/>
      </c>
    </row>
    <row r="10">
      <c r="A10" s="2" t="inlineStr">
        <is>
          <t>Monthly CAC</t>
        </is>
      </c>
      <c r="B10" s="3">
        <f>Assumptions!B7</f>
        <v/>
      </c>
    </row>
    <row r="13">
      <c r="A13" s="1" t="inlineStr">
        <is>
          <t>SCENARIO COMPARISON</t>
        </is>
      </c>
      <c r="B13" s="1" t="inlineStr">
        <is>
          <t>Conservative</t>
        </is>
      </c>
      <c r="C13" s="1" t="inlineStr">
        <is>
          <t>Base Case</t>
        </is>
      </c>
      <c r="D13" s="1" t="inlineStr">
        <is>
          <t>Optimistic</t>
        </is>
      </c>
    </row>
    <row r="14">
      <c r="A14" s="2" t="inlineStr">
        <is>
          <t>Year 1 Revenue</t>
        </is>
      </c>
      <c r="B14" s="3">
        <f>Scenarios!B3</f>
        <v/>
      </c>
      <c r="C14" s="3">
        <f>Scenarios!C3</f>
        <v/>
      </c>
      <c r="D14" s="3">
        <f>Scenarios!D3</f>
        <v/>
      </c>
    </row>
    <row r="15">
      <c r="A15" s="2" t="inlineStr">
        <is>
          <t>Total Units</t>
        </is>
      </c>
      <c r="B15" s="5">
        <f>Scenarios!B5</f>
        <v/>
      </c>
      <c r="C15" s="5">
        <f>Scenarios!C5</f>
        <v/>
      </c>
      <c r="D15" s="5">
        <f>Scenarios!D5</f>
        <v/>
      </c>
    </row>
    <row r="16">
      <c r="A16" s="2" t="inlineStr">
        <is>
          <t>Year 1 EBITDA</t>
        </is>
      </c>
      <c r="B16" s="3">
        <f>Scenarios!B7</f>
        <v/>
      </c>
      <c r="C16" s="3">
        <f>Scenarios!C7</f>
        <v/>
      </c>
      <c r="D16" s="3">
        <f>Scenarios!D7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ASSUMPTIONS &amp; INPUT PARAMETERS</t>
        </is>
      </c>
    </row>
    <row r="3">
      <c r="A3" s="2" t="inlineStr">
        <is>
          <t>ShopSense Unit Price (₹)</t>
        </is>
      </c>
      <c r="B3" s="6" t="n">
        <v>25000</v>
      </c>
    </row>
    <row r="4">
      <c r="A4" s="2" t="inlineStr">
        <is>
          <t>ShopSense COGS (₹)</t>
        </is>
      </c>
      <c r="B4" s="6" t="n">
        <v>13750</v>
      </c>
    </row>
    <row r="5">
      <c r="A5" s="2" t="inlineStr">
        <is>
          <t>Gross Margin % (ShopSense)</t>
        </is>
      </c>
      <c r="B5" s="7" t="n">
        <v>0.45</v>
      </c>
    </row>
    <row r="6">
      <c r="A6" s="2" t="inlineStr">
        <is>
          <t>Web Design Avg Deal (₹)</t>
        </is>
      </c>
      <c r="B6" s="6" t="n">
        <v>8000</v>
      </c>
    </row>
    <row r="7">
      <c r="A7" s="2" t="inlineStr">
        <is>
          <t>CAC per Customer (₹)</t>
        </is>
      </c>
      <c r="B7" s="6" t="n">
        <v>0</v>
      </c>
    </row>
    <row r="8">
      <c r="A8" s="2" t="inlineStr">
        <is>
          <t>Monthly OpEx (₹)</t>
        </is>
      </c>
      <c r="B8" s="6" t="n">
        <v>10500</v>
      </c>
    </row>
    <row r="9">
      <c r="A9" s="2" t="inlineStr">
        <is>
          <t>GST Rate %</t>
        </is>
      </c>
      <c r="B9" s="7" t="n">
        <v>0.18</v>
      </c>
    </row>
    <row r="10">
      <c r="A10" s="2" t="inlineStr">
        <is>
          <t>Starting Cash (₹)</t>
        </is>
      </c>
      <c r="B10" s="6" t="n">
        <v>50000</v>
      </c>
    </row>
    <row r="12">
      <c r="A12" s="2" t="inlineStr">
        <is>
          <t>MONTHLY UNIT RAMP (ShopSense units)</t>
        </is>
      </c>
    </row>
    <row r="13">
      <c r="A13" s="1" t="inlineStr">
        <is>
          <t>Month</t>
        </is>
      </c>
      <c r="B13" s="1" t="inlineStr">
        <is>
          <t>M1</t>
        </is>
      </c>
      <c r="C13" s="1" t="inlineStr">
        <is>
          <t>M2</t>
        </is>
      </c>
      <c r="D13" s="1" t="inlineStr">
        <is>
          <t>M3</t>
        </is>
      </c>
      <c r="E13" s="1" t="inlineStr">
        <is>
          <t>M4</t>
        </is>
      </c>
      <c r="F13" s="1" t="inlineStr">
        <is>
          <t>M5</t>
        </is>
      </c>
      <c r="G13" s="1" t="inlineStr">
        <is>
          <t>M6</t>
        </is>
      </c>
      <c r="H13" s="1" t="inlineStr">
        <is>
          <t>M7</t>
        </is>
      </c>
      <c r="I13" s="1" t="inlineStr">
        <is>
          <t>M8</t>
        </is>
      </c>
      <c r="J13" s="1" t="inlineStr">
        <is>
          <t>M9</t>
        </is>
      </c>
      <c r="K13" s="1" t="inlineStr">
        <is>
          <t>M10</t>
        </is>
      </c>
      <c r="L13" s="1" t="inlineStr">
        <is>
          <t>M11</t>
        </is>
      </c>
      <c r="M13" s="1" t="inlineStr">
        <is>
          <t>M12</t>
        </is>
      </c>
    </row>
    <row r="14">
      <c r="A14" s="2" t="inlineStr">
        <is>
          <t>Units</t>
        </is>
      </c>
      <c r="B14" s="8" t="n">
        <v>0</v>
      </c>
      <c r="C14" s="8" t="n">
        <v>0</v>
      </c>
      <c r="D14" s="8" t="n">
        <v>0</v>
      </c>
      <c r="E14" s="8" t="n">
        <v>1</v>
      </c>
      <c r="F14" s="8" t="n">
        <v>1</v>
      </c>
      <c r="G14" s="8" t="n">
        <v>2</v>
      </c>
      <c r="H14" s="8" t="n">
        <v>2</v>
      </c>
      <c r="I14" s="8" t="n">
        <v>3</v>
      </c>
      <c r="J14" s="8" t="n">
        <v>3</v>
      </c>
      <c r="K14" s="8" t="n">
        <v>4</v>
      </c>
      <c r="L14" s="8" t="n">
        <v>5</v>
      </c>
      <c r="M14" s="8" t="n">
        <v>5</v>
      </c>
    </row>
    <row r="17">
      <c r="A17" s="2" t="inlineStr">
        <is>
          <t>MONTHLY WEB DESIGN DEALS</t>
        </is>
      </c>
    </row>
    <row r="18">
      <c r="A18" s="1" t="inlineStr">
        <is>
          <t>Month</t>
        </is>
      </c>
      <c r="B18" s="1" t="inlineStr">
        <is>
          <t>M1</t>
        </is>
      </c>
      <c r="C18" s="1" t="inlineStr">
        <is>
          <t>M2</t>
        </is>
      </c>
      <c r="D18" s="1" t="inlineStr">
        <is>
          <t>M3</t>
        </is>
      </c>
      <c r="E18" s="1" t="inlineStr">
        <is>
          <t>M4</t>
        </is>
      </c>
      <c r="F18" s="1" t="inlineStr">
        <is>
          <t>M5</t>
        </is>
      </c>
      <c r="G18" s="1" t="inlineStr">
        <is>
          <t>M6</t>
        </is>
      </c>
      <c r="H18" s="1" t="inlineStr">
        <is>
          <t>M7</t>
        </is>
      </c>
      <c r="I18" s="1" t="inlineStr">
        <is>
          <t>M8</t>
        </is>
      </c>
      <c r="J18" s="1" t="inlineStr">
        <is>
          <t>M9</t>
        </is>
      </c>
      <c r="K18" s="1" t="inlineStr">
        <is>
          <t>M10</t>
        </is>
      </c>
      <c r="L18" s="1" t="inlineStr">
        <is>
          <t>M11</t>
        </is>
      </c>
      <c r="M18" s="1" t="inlineStr">
        <is>
          <t>M12</t>
        </is>
      </c>
    </row>
    <row r="19">
      <c r="A19" s="2" t="inlineStr">
        <is>
          <t>Deals</t>
        </is>
      </c>
      <c r="B19" s="8" t="n">
        <v>0</v>
      </c>
      <c r="C19" s="8" t="n">
        <v>0</v>
      </c>
      <c r="D19" s="8" t="n">
        <v>1</v>
      </c>
      <c r="E19" s="8" t="n">
        <v>1</v>
      </c>
      <c r="F19" s="8" t="n">
        <v>2</v>
      </c>
      <c r="G19" s="8" t="n">
        <v>2</v>
      </c>
      <c r="H19" s="8" t="n">
        <v>2</v>
      </c>
      <c r="I19" s="8" t="n">
        <v>3</v>
      </c>
      <c r="J19" s="8" t="n">
        <v>3</v>
      </c>
      <c r="K19" s="8" t="n">
        <v>3</v>
      </c>
      <c r="L19" s="8" t="n">
        <v>4</v>
      </c>
      <c r="M19" s="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MONTHLY REVENUE ANALYSIS</t>
        </is>
      </c>
      <c r="B1" s="1" t="inlineStr">
        <is>
          <t>Month 1</t>
        </is>
      </c>
      <c r="C1" s="1" t="inlineStr">
        <is>
          <t>Month 2</t>
        </is>
      </c>
      <c r="D1" s="1" t="inlineStr">
        <is>
          <t>Month 3</t>
        </is>
      </c>
      <c r="E1" s="1" t="inlineStr">
        <is>
          <t>Month 4</t>
        </is>
      </c>
      <c r="F1" s="1" t="inlineStr">
        <is>
          <t>Month 5</t>
        </is>
      </c>
      <c r="G1" s="1" t="inlineStr">
        <is>
          <t>Month 6</t>
        </is>
      </c>
      <c r="H1" s="1" t="inlineStr">
        <is>
          <t>Month 7</t>
        </is>
      </c>
      <c r="I1" s="1" t="inlineStr">
        <is>
          <t>Month 8</t>
        </is>
      </c>
      <c r="J1" s="1" t="inlineStr">
        <is>
          <t>Month 9</t>
        </is>
      </c>
      <c r="K1" s="1" t="inlineStr">
        <is>
          <t>Month 10</t>
        </is>
      </c>
      <c r="L1" s="1" t="inlineStr">
        <is>
          <t>Month 11</t>
        </is>
      </c>
      <c r="M1" s="1" t="inlineStr">
        <is>
          <t>Month 12</t>
        </is>
      </c>
      <c r="N1" s="1" t="inlineStr">
        <is>
          <t>Year 1 Total</t>
        </is>
      </c>
    </row>
    <row r="2">
      <c r="A2" s="2" t="inlineStr">
        <is>
          <t>ShopSense Units Sold</t>
        </is>
      </c>
      <c r="B2" s="5">
        <f>Assumptions!B18</f>
        <v/>
      </c>
      <c r="C2" s="5">
        <f>Assumptions!C18</f>
        <v/>
      </c>
      <c r="D2" s="5">
        <f>Assumptions!D18</f>
        <v/>
      </c>
      <c r="E2" s="5">
        <f>Assumptions!E18</f>
        <v/>
      </c>
      <c r="F2" s="5">
        <f>Assumptions!F18</f>
        <v/>
      </c>
      <c r="G2" s="5">
        <f>Assumptions!G18</f>
        <v/>
      </c>
      <c r="H2" s="5">
        <f>Assumptions!H18</f>
        <v/>
      </c>
      <c r="I2" s="5">
        <f>Assumptions!I18</f>
        <v/>
      </c>
      <c r="J2" s="5">
        <f>Assumptions!J18</f>
        <v/>
      </c>
      <c r="K2" s="5">
        <f>Assumptions!K18</f>
        <v/>
      </c>
      <c r="L2" s="5">
        <f>Assumptions!L18</f>
        <v/>
      </c>
      <c r="M2" s="5">
        <f>Assumptions!M18</f>
        <v/>
      </c>
      <c r="N2" s="5">
        <f>SUM(B2:M2)</f>
        <v/>
      </c>
    </row>
    <row r="3">
      <c r="A3" s="2" t="inlineStr">
        <is>
          <t>ShopSense Revenue (₹)</t>
        </is>
      </c>
      <c r="B3" s="3">
        <f>B2*Assumptions!B1</f>
        <v/>
      </c>
      <c r="C3" s="3">
        <f>B2*Assumptions!B1</f>
        <v/>
      </c>
      <c r="D3" s="3">
        <f>B2*Assumptions!B1</f>
        <v/>
      </c>
      <c r="E3" s="3">
        <f>B2*Assumptions!B1</f>
        <v/>
      </c>
      <c r="F3" s="3">
        <f>B2*Assumptions!B1</f>
        <v/>
      </c>
      <c r="G3" s="3">
        <f>B2*Assumptions!B1</f>
        <v/>
      </c>
      <c r="H3" s="3">
        <f>B2*Assumptions!B1</f>
        <v/>
      </c>
      <c r="I3" s="3">
        <f>B2*Assumptions!B1</f>
        <v/>
      </c>
      <c r="J3" s="3">
        <f>B2*Assumptions!B1</f>
        <v/>
      </c>
      <c r="K3" s="3">
        <f>B2*Assumptions!B1</f>
        <v/>
      </c>
      <c r="L3" s="3">
        <f>B2*Assumptions!B1</f>
        <v/>
      </c>
      <c r="M3" s="3">
        <f>B2*Assumptions!B1</f>
        <v/>
      </c>
      <c r="N3" s="3">
        <f>SUM(B3:M3)</f>
        <v/>
      </c>
    </row>
    <row r="4">
      <c r="A4" s="2" t="inlineStr">
        <is>
          <t>Web Design Deals</t>
        </is>
      </c>
      <c r="B4" s="5">
        <f>Assumptions!B23</f>
        <v/>
      </c>
      <c r="C4" s="5">
        <f>Assumptions!C23</f>
        <v/>
      </c>
      <c r="D4" s="5">
        <f>Assumptions!D23</f>
        <v/>
      </c>
      <c r="E4" s="5">
        <f>Assumptions!E23</f>
        <v/>
      </c>
      <c r="F4" s="5">
        <f>Assumptions!F23</f>
        <v/>
      </c>
      <c r="G4" s="5">
        <f>Assumptions!G23</f>
        <v/>
      </c>
      <c r="H4" s="5">
        <f>Assumptions!H23</f>
        <v/>
      </c>
      <c r="I4" s="5">
        <f>Assumptions!I23</f>
        <v/>
      </c>
      <c r="J4" s="5">
        <f>Assumptions!J23</f>
        <v/>
      </c>
      <c r="K4" s="5">
        <f>Assumptions!K23</f>
        <v/>
      </c>
      <c r="L4" s="5">
        <f>Assumptions!L23</f>
        <v/>
      </c>
      <c r="M4" s="5">
        <f>Assumptions!M23</f>
        <v/>
      </c>
      <c r="N4" s="5">
        <f>SUM(B4:M4)</f>
        <v/>
      </c>
    </row>
    <row r="5">
      <c r="A5" s="2" t="inlineStr">
        <is>
          <t>Web Design Revenue (₹)</t>
        </is>
      </c>
      <c r="B5" s="3">
        <f>B4*Assumptions!B4</f>
        <v/>
      </c>
      <c r="C5" s="3">
        <f>B4*Assumptions!B4</f>
        <v/>
      </c>
      <c r="D5" s="3">
        <f>B4*Assumptions!B4</f>
        <v/>
      </c>
      <c r="E5" s="3">
        <f>B4*Assumptions!B4</f>
        <v/>
      </c>
      <c r="F5" s="3">
        <f>B4*Assumptions!B4</f>
        <v/>
      </c>
      <c r="G5" s="3">
        <f>B4*Assumptions!B4</f>
        <v/>
      </c>
      <c r="H5" s="3">
        <f>B4*Assumptions!B4</f>
        <v/>
      </c>
      <c r="I5" s="3">
        <f>B4*Assumptions!B4</f>
        <v/>
      </c>
      <c r="J5" s="3">
        <f>B4*Assumptions!B4</f>
        <v/>
      </c>
      <c r="K5" s="3">
        <f>B4*Assumptions!B4</f>
        <v/>
      </c>
      <c r="L5" s="3">
        <f>B4*Assumptions!B4</f>
        <v/>
      </c>
      <c r="M5" s="3">
        <f>B4*Assumptions!B4</f>
        <v/>
      </c>
      <c r="N5" s="3">
        <f>SUM(B5:M5)</f>
        <v/>
      </c>
    </row>
    <row r="6">
      <c r="A6" s="2" t="inlineStr">
        <is>
          <t>TOTAL REVENUE (₹)</t>
        </is>
      </c>
      <c r="B6" s="3">
        <f>B4+B2</f>
        <v/>
      </c>
      <c r="C6" s="3">
        <f>B4+B2</f>
        <v/>
      </c>
      <c r="D6" s="3">
        <f>B4+B2</f>
        <v/>
      </c>
      <c r="E6" s="3">
        <f>B4+B2</f>
        <v/>
      </c>
      <c r="F6" s="3">
        <f>B4+B2</f>
        <v/>
      </c>
      <c r="G6" s="3">
        <f>B4+B2</f>
        <v/>
      </c>
      <c r="H6" s="3">
        <f>B4+B2</f>
        <v/>
      </c>
      <c r="I6" s="3">
        <f>B4+B2</f>
        <v/>
      </c>
      <c r="J6" s="3">
        <f>B4+B2</f>
        <v/>
      </c>
      <c r="K6" s="3">
        <f>B4+B2</f>
        <v/>
      </c>
      <c r="L6" s="3">
        <f>B4+B2</f>
        <v/>
      </c>
      <c r="M6" s="3">
        <f>B4+B2</f>
        <v/>
      </c>
      <c r="N6" s="9">
        <f>SUM(B6:M6)</f>
        <v/>
      </c>
    </row>
    <row r="7">
      <c r="A7" s="2" t="inlineStr">
        <is>
          <t>Cumulative Revenue (₹)</t>
        </is>
      </c>
      <c r="B7" s="3">
        <f>B6</f>
        <v/>
      </c>
      <c r="C7" s="3">
        <f>B6+B6</f>
        <v/>
      </c>
      <c r="D7" s="3">
        <f>C6+B6</f>
        <v/>
      </c>
      <c r="E7" s="3">
        <f>D6+B6</f>
        <v/>
      </c>
      <c r="F7" s="3">
        <f>E6+B6</f>
        <v/>
      </c>
      <c r="G7" s="3">
        <f>F6+B6</f>
        <v/>
      </c>
      <c r="H7" s="3">
        <f>G6+B6</f>
        <v/>
      </c>
      <c r="I7" s="3">
        <f>H6+B6</f>
        <v/>
      </c>
      <c r="J7" s="3">
        <f>I6+B6</f>
        <v/>
      </c>
      <c r="K7" s="3">
        <f>J6+B6</f>
        <v/>
      </c>
      <c r="L7" s="3">
        <f>K6+B6</f>
        <v/>
      </c>
      <c r="M7" s="3">
        <f>L6+B6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PROFIT &amp; LOSS STATEMENT</t>
        </is>
      </c>
      <c r="B1" s="1" t="inlineStr">
        <is>
          <t>Month 1</t>
        </is>
      </c>
      <c r="C1" s="1" t="inlineStr">
        <is>
          <t>Month 2</t>
        </is>
      </c>
      <c r="D1" s="1" t="inlineStr">
        <is>
          <t>Month 3</t>
        </is>
      </c>
      <c r="E1" s="1" t="inlineStr">
        <is>
          <t>Month 4</t>
        </is>
      </c>
      <c r="F1" s="1" t="inlineStr">
        <is>
          <t>Month 5</t>
        </is>
      </c>
      <c r="G1" s="1" t="inlineStr">
        <is>
          <t>Month 6</t>
        </is>
      </c>
      <c r="H1" s="1" t="inlineStr">
        <is>
          <t>Month 7</t>
        </is>
      </c>
      <c r="I1" s="1" t="inlineStr">
        <is>
          <t>Month 8</t>
        </is>
      </c>
      <c r="J1" s="1" t="inlineStr">
        <is>
          <t>Month 9</t>
        </is>
      </c>
      <c r="K1" s="1" t="inlineStr">
        <is>
          <t>Month 10</t>
        </is>
      </c>
      <c r="L1" s="1" t="inlineStr">
        <is>
          <t>Month 11</t>
        </is>
      </c>
      <c r="M1" s="1" t="inlineStr">
        <is>
          <t>Month 12</t>
        </is>
      </c>
      <c r="N1" s="1" t="inlineStr">
        <is>
          <t>Year 1 Total</t>
        </is>
      </c>
    </row>
    <row r="2">
      <c r="A2" s="2" t="inlineStr">
        <is>
          <t>Revenue</t>
        </is>
      </c>
      <c r="B2" s="3">
        <f>Revenue!B6:B6</f>
        <v/>
      </c>
      <c r="C2" s="3">
        <f>Revenue!B6:C6</f>
        <v/>
      </c>
      <c r="D2" s="3">
        <f>Revenue!B6:D6</f>
        <v/>
      </c>
      <c r="E2" s="3">
        <f>Revenue!B6:E6</f>
        <v/>
      </c>
      <c r="F2" s="3">
        <f>Revenue!B6:F6</f>
        <v/>
      </c>
      <c r="G2" s="3">
        <f>Revenue!B6:G6</f>
        <v/>
      </c>
      <c r="H2" s="3">
        <f>Revenue!B6:H6</f>
        <v/>
      </c>
      <c r="I2" s="3">
        <f>Revenue!B6:I6</f>
        <v/>
      </c>
      <c r="J2" s="3">
        <f>Revenue!B6:J6</f>
        <v/>
      </c>
      <c r="K2" s="3">
        <f>Revenue!B6:K6</f>
        <v/>
      </c>
      <c r="L2" s="3">
        <f>Revenue!B6:L6</f>
        <v/>
      </c>
      <c r="M2" s="3">
        <f>Revenue!B6:M6</f>
        <v/>
      </c>
      <c r="N2" s="3">
        <f>Revenue!N5</f>
        <v/>
      </c>
    </row>
    <row r="3">
      <c r="A3" s="2" t="inlineStr">
        <is>
          <t>COGS (ShopSense only)</t>
        </is>
      </c>
      <c r="B3" s="3">
        <f>Revenue!B3*Assumptions!B2</f>
        <v/>
      </c>
      <c r="C3" s="3">
        <f>Revenue!B3*Assumptions!B2</f>
        <v/>
      </c>
      <c r="D3" s="3">
        <f>Revenue!B3*Assumptions!B2</f>
        <v/>
      </c>
      <c r="E3" s="3">
        <f>Revenue!B3*Assumptions!B2</f>
        <v/>
      </c>
      <c r="F3" s="3">
        <f>Revenue!B3*Assumptions!B2</f>
        <v/>
      </c>
      <c r="G3" s="3">
        <f>Revenue!B3*Assumptions!B2</f>
        <v/>
      </c>
      <c r="H3" s="3">
        <f>Revenue!B3*Assumptions!B2</f>
        <v/>
      </c>
      <c r="I3" s="3">
        <f>Revenue!B3*Assumptions!B2</f>
        <v/>
      </c>
      <c r="J3" s="3">
        <f>Revenue!B3*Assumptions!B2</f>
        <v/>
      </c>
      <c r="K3" s="3">
        <f>Revenue!B3*Assumptions!B2</f>
        <v/>
      </c>
      <c r="L3" s="3">
        <f>Revenue!B3*Assumptions!B2</f>
        <v/>
      </c>
      <c r="M3" s="3">
        <f>Revenue!B3*Assumptions!B2</f>
        <v/>
      </c>
      <c r="N3" s="3">
        <f>SUM(B3:M3)</f>
        <v/>
      </c>
    </row>
    <row r="4">
      <c r="A4" s="2" t="inlineStr">
        <is>
          <t>Gross Profit (₹)</t>
        </is>
      </c>
      <c r="B4" s="3">
        <f>B2-B3</f>
        <v/>
      </c>
      <c r="C4" s="3">
        <f>B2-B3</f>
        <v/>
      </c>
      <c r="D4" s="3">
        <f>B2-B3</f>
        <v/>
      </c>
      <c r="E4" s="3">
        <f>B2-B3</f>
        <v/>
      </c>
      <c r="F4" s="3">
        <f>B2-B3</f>
        <v/>
      </c>
      <c r="G4" s="3">
        <f>B2-B3</f>
        <v/>
      </c>
      <c r="H4" s="3">
        <f>B2-B3</f>
        <v/>
      </c>
      <c r="I4" s="3">
        <f>B2-B3</f>
        <v/>
      </c>
      <c r="J4" s="3">
        <f>B2-B3</f>
        <v/>
      </c>
      <c r="K4" s="3">
        <f>B2-B3</f>
        <v/>
      </c>
      <c r="L4" s="3">
        <f>B2-B3</f>
        <v/>
      </c>
      <c r="M4" s="3">
        <f>B2-B3</f>
        <v/>
      </c>
      <c r="N4" s="3">
        <f>SUM(B4:M4)</f>
        <v/>
      </c>
    </row>
    <row r="5">
      <c r="A5" s="2" t="inlineStr">
        <is>
          <t>Gross Margin %</t>
        </is>
      </c>
      <c r="B5" s="4">
        <f>IF(B2=0,0,B4/B2)</f>
        <v/>
      </c>
      <c r="C5" s="4">
        <f>IF(B2=0,0,B4/B2)</f>
        <v/>
      </c>
      <c r="D5" s="4">
        <f>IF(B2=0,0,B4/B2)</f>
        <v/>
      </c>
      <c r="E5" s="4">
        <f>IF(B2=0,0,B4/B2)</f>
        <v/>
      </c>
      <c r="F5" s="4">
        <f>IF(B2=0,0,B4/B2)</f>
        <v/>
      </c>
      <c r="G5" s="4">
        <f>IF(B2=0,0,B4/B2)</f>
        <v/>
      </c>
      <c r="H5" s="4">
        <f>IF(B2=0,0,B4/B2)</f>
        <v/>
      </c>
      <c r="I5" s="4">
        <f>IF(B2=0,0,B4/B2)</f>
        <v/>
      </c>
      <c r="J5" s="4">
        <f>IF(B2=0,0,B4/B2)</f>
        <v/>
      </c>
      <c r="K5" s="4">
        <f>IF(B2=0,0,B4/B2)</f>
        <v/>
      </c>
      <c r="L5" s="4">
        <f>IF(B2=0,0,B4/B2)</f>
        <v/>
      </c>
      <c r="M5" s="4">
        <f>IF(B2=0,0,B4/B2)</f>
        <v/>
      </c>
      <c r="N5" s="4">
        <f>IF(N2=0,0,N4/N2)</f>
        <v/>
      </c>
    </row>
    <row r="7">
      <c r="A7" s="2" t="inlineStr">
        <is>
          <t>Operating Expenses</t>
        </is>
      </c>
      <c r="B7" s="3">
        <f>Assumptions!B6</f>
        <v/>
      </c>
      <c r="C7" s="3">
        <f>Assumptions!B6</f>
        <v/>
      </c>
      <c r="D7" s="3">
        <f>Assumptions!B6</f>
        <v/>
      </c>
      <c r="E7" s="3">
        <f>Assumptions!B6</f>
        <v/>
      </c>
      <c r="F7" s="3">
        <f>Assumptions!B6</f>
        <v/>
      </c>
      <c r="G7" s="3">
        <f>Assumptions!B6</f>
        <v/>
      </c>
      <c r="H7" s="3">
        <f>Assumptions!B6</f>
        <v/>
      </c>
      <c r="I7" s="3">
        <f>Assumptions!B6</f>
        <v/>
      </c>
      <c r="J7" s="3">
        <f>Assumptions!B6</f>
        <v/>
      </c>
      <c r="K7" s="3">
        <f>Assumptions!B6</f>
        <v/>
      </c>
      <c r="L7" s="3">
        <f>Assumptions!B6</f>
        <v/>
      </c>
      <c r="M7" s="3">
        <f>Assumptions!B6</f>
        <v/>
      </c>
      <c r="N7" s="3">
        <f>SUM(B7:M7)</f>
        <v/>
      </c>
    </row>
    <row r="8">
      <c r="A8" s="2" t="inlineStr">
        <is>
          <t>EBITDA (₹)</t>
        </is>
      </c>
      <c r="B8" s="3">
        <f>B4-B7</f>
        <v/>
      </c>
      <c r="C8" s="3">
        <f>B4-B7</f>
        <v/>
      </c>
      <c r="D8" s="3">
        <f>B4-B7</f>
        <v/>
      </c>
      <c r="E8" s="3">
        <f>B4-B7</f>
        <v/>
      </c>
      <c r="F8" s="3">
        <f>B4-B7</f>
        <v/>
      </c>
      <c r="G8" s="3">
        <f>B4-B7</f>
        <v/>
      </c>
      <c r="H8" s="3">
        <f>B4-B7</f>
        <v/>
      </c>
      <c r="I8" s="3">
        <f>B4-B7</f>
        <v/>
      </c>
      <c r="J8" s="3">
        <f>B4-B7</f>
        <v/>
      </c>
      <c r="K8" s="3">
        <f>B4-B7</f>
        <v/>
      </c>
      <c r="L8" s="3">
        <f>B4-B7</f>
        <v/>
      </c>
      <c r="M8" s="3">
        <f>B4-B7</f>
        <v/>
      </c>
      <c r="N8" s="9">
        <f>SUM(B8:M8)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MONTHLY CASH FLOW STATEMENT</t>
        </is>
      </c>
      <c r="B1" s="1" t="inlineStr">
        <is>
          <t>Month 1</t>
        </is>
      </c>
      <c r="C1" s="1" t="inlineStr">
        <is>
          <t>Month 2</t>
        </is>
      </c>
      <c r="D1" s="1" t="inlineStr">
        <is>
          <t>Month 3</t>
        </is>
      </c>
      <c r="E1" s="1" t="inlineStr">
        <is>
          <t>Month 4</t>
        </is>
      </c>
      <c r="F1" s="1" t="inlineStr">
        <is>
          <t>Month 5</t>
        </is>
      </c>
      <c r="G1" s="1" t="inlineStr">
        <is>
          <t>Month 6</t>
        </is>
      </c>
      <c r="H1" s="1" t="inlineStr">
        <is>
          <t>Month 7</t>
        </is>
      </c>
      <c r="I1" s="1" t="inlineStr">
        <is>
          <t>Month 8</t>
        </is>
      </c>
      <c r="J1" s="1" t="inlineStr">
        <is>
          <t>Month 9</t>
        </is>
      </c>
      <c r="K1" s="1" t="inlineStr">
        <is>
          <t>Month 10</t>
        </is>
      </c>
      <c r="L1" s="1" t="inlineStr">
        <is>
          <t>Month 11</t>
        </is>
      </c>
      <c r="M1" s="1" t="inlineStr">
        <is>
          <t>Month 12</t>
        </is>
      </c>
      <c r="N1" s="1" t="inlineStr">
        <is>
          <t>Year 1 Total</t>
        </is>
      </c>
    </row>
    <row r="2">
      <c r="A2" s="2" t="inlineStr">
        <is>
          <t>Opening Cash Balance (₹)</t>
        </is>
      </c>
      <c r="B2" s="3">
        <f>Assumptions!B8</f>
        <v/>
      </c>
      <c r="C2" s="3">
        <f>C10</f>
        <v/>
      </c>
      <c r="D2" s="3">
        <f>D10</f>
        <v/>
      </c>
      <c r="E2" s="3">
        <f>E10</f>
        <v/>
      </c>
      <c r="F2" s="3">
        <f>F10</f>
        <v/>
      </c>
      <c r="G2" s="3">
        <f>G10</f>
        <v/>
      </c>
      <c r="H2" s="3">
        <f>H10</f>
        <v/>
      </c>
      <c r="I2" s="3">
        <f>I10</f>
        <v/>
      </c>
      <c r="J2" s="3">
        <f>J10</f>
        <v/>
      </c>
      <c r="K2" s="3">
        <f>K10</f>
        <v/>
      </c>
      <c r="L2" s="3">
        <f>L10</f>
        <v/>
      </c>
      <c r="M2" s="3">
        <f>M10</f>
        <v/>
      </c>
    </row>
    <row r="3">
      <c r="A3" s="2" t="inlineStr">
        <is>
          <t>Cash In (Revenue)</t>
        </is>
      </c>
      <c r="B3" s="3">
        <f>Revenue!B6</f>
        <v/>
      </c>
      <c r="C3" s="3">
        <f>Revenue!B6</f>
        <v/>
      </c>
      <c r="D3" s="3">
        <f>Revenue!B6</f>
        <v/>
      </c>
      <c r="E3" s="3">
        <f>Revenue!B6</f>
        <v/>
      </c>
      <c r="F3" s="3">
        <f>Revenue!B6</f>
        <v/>
      </c>
      <c r="G3" s="3">
        <f>Revenue!B6</f>
        <v/>
      </c>
      <c r="H3" s="3">
        <f>Revenue!B6</f>
        <v/>
      </c>
      <c r="I3" s="3">
        <f>Revenue!B6</f>
        <v/>
      </c>
      <c r="J3" s="3">
        <f>Revenue!B6</f>
        <v/>
      </c>
      <c r="K3" s="3">
        <f>Revenue!B6</f>
        <v/>
      </c>
      <c r="L3" s="3">
        <f>Revenue!B6</f>
        <v/>
      </c>
      <c r="M3" s="3">
        <f>Revenue!B6</f>
        <v/>
      </c>
      <c r="N3" s="3">
        <f>SUM(B3:M3)</f>
        <v/>
      </c>
    </row>
    <row r="4">
      <c r="A4" s="2" t="inlineStr">
        <is>
          <t>Cash Out: COGS (2 weeks prior)</t>
        </is>
      </c>
      <c r="B4" s="3">
        <f>Revenue!B3*Assumptions!B2</f>
        <v/>
      </c>
      <c r="C4" s="3">
        <f>B3*Assumptions!B2</f>
        <v/>
      </c>
      <c r="D4" s="3">
        <f>C3*Assumptions!B2</f>
        <v/>
      </c>
      <c r="E4" s="3">
        <f>D3*Assumptions!B2</f>
        <v/>
      </c>
      <c r="F4" s="3">
        <f>E3*Assumptions!B2</f>
        <v/>
      </c>
      <c r="G4" s="3">
        <f>F3*Assumptions!B2</f>
        <v/>
      </c>
      <c r="H4" s="3">
        <f>G3*Assumptions!B2</f>
        <v/>
      </c>
      <c r="I4" s="3">
        <f>H3*Assumptions!B2</f>
        <v/>
      </c>
      <c r="J4" s="3">
        <f>I3*Assumptions!B2</f>
        <v/>
      </c>
      <c r="K4" s="3">
        <f>J3*Assumptions!B2</f>
        <v/>
      </c>
      <c r="L4" s="3">
        <f>K3*Assumptions!B2</f>
        <v/>
      </c>
      <c r="M4" s="3">
        <f>L3*Assumptions!B2</f>
        <v/>
      </c>
      <c r="N4" s="3">
        <f>SUM(B4:M4)</f>
        <v/>
      </c>
    </row>
    <row r="5">
      <c r="A5" s="2" t="inlineStr">
        <is>
          <t>Cash Out: Operating Expenses</t>
        </is>
      </c>
      <c r="B5" s="3">
        <f>Assumptions!B6</f>
        <v/>
      </c>
      <c r="C5" s="3">
        <f>Assumptions!B6</f>
        <v/>
      </c>
      <c r="D5" s="3">
        <f>Assumptions!B6</f>
        <v/>
      </c>
      <c r="E5" s="3">
        <f>Assumptions!B6</f>
        <v/>
      </c>
      <c r="F5" s="3">
        <f>Assumptions!B6</f>
        <v/>
      </c>
      <c r="G5" s="3">
        <f>Assumptions!B6</f>
        <v/>
      </c>
      <c r="H5" s="3">
        <f>Assumptions!B6</f>
        <v/>
      </c>
      <c r="I5" s="3">
        <f>Assumptions!B6</f>
        <v/>
      </c>
      <c r="J5" s="3">
        <f>Assumptions!B6</f>
        <v/>
      </c>
      <c r="K5" s="3">
        <f>Assumptions!B6</f>
        <v/>
      </c>
      <c r="L5" s="3">
        <f>Assumptions!B6</f>
        <v/>
      </c>
      <c r="M5" s="3">
        <f>Assumptions!B6</f>
        <v/>
      </c>
      <c r="N5" s="3">
        <f>SUM(B5:M5)</f>
        <v/>
      </c>
    </row>
    <row r="6">
      <c r="A6" s="2" t="inlineStr">
        <is>
          <t>Total Cash Out</t>
        </is>
      </c>
      <c r="B6" s="3">
        <f>B4+B5</f>
        <v/>
      </c>
      <c r="C6" s="3">
        <f>B4+B5</f>
        <v/>
      </c>
      <c r="D6" s="3">
        <f>B4+B5</f>
        <v/>
      </c>
      <c r="E6" s="3">
        <f>B4+B5</f>
        <v/>
      </c>
      <c r="F6" s="3">
        <f>B4+B5</f>
        <v/>
      </c>
      <c r="G6" s="3">
        <f>B4+B5</f>
        <v/>
      </c>
      <c r="H6" s="3">
        <f>B4+B5</f>
        <v/>
      </c>
      <c r="I6" s="3">
        <f>B4+B5</f>
        <v/>
      </c>
      <c r="J6" s="3">
        <f>B4+B5</f>
        <v/>
      </c>
      <c r="K6" s="3">
        <f>B4+B5</f>
        <v/>
      </c>
      <c r="L6" s="3">
        <f>B4+B5</f>
        <v/>
      </c>
      <c r="M6" s="3">
        <f>B4+B5</f>
        <v/>
      </c>
      <c r="N6" s="3">
        <f>SUM(B6:M6)</f>
        <v/>
      </c>
    </row>
    <row r="7">
      <c r="A7" s="2" t="inlineStr">
        <is>
          <t>Net Cash Flow (₹)</t>
        </is>
      </c>
      <c r="B7" s="3">
        <f>B3-B6</f>
        <v/>
      </c>
      <c r="C7" s="3">
        <f>B3-B6</f>
        <v/>
      </c>
      <c r="D7" s="3">
        <f>B3-B6</f>
        <v/>
      </c>
      <c r="E7" s="3">
        <f>B3-B6</f>
        <v/>
      </c>
      <c r="F7" s="3">
        <f>B3-B6</f>
        <v/>
      </c>
      <c r="G7" s="3">
        <f>B3-B6</f>
        <v/>
      </c>
      <c r="H7" s="3">
        <f>B3-B6</f>
        <v/>
      </c>
      <c r="I7" s="3">
        <f>B3-B6</f>
        <v/>
      </c>
      <c r="J7" s="3">
        <f>B3-B6</f>
        <v/>
      </c>
      <c r="K7" s="3">
        <f>B3-B6</f>
        <v/>
      </c>
      <c r="L7" s="3">
        <f>B3-B6</f>
        <v/>
      </c>
      <c r="M7" s="3">
        <f>B3-B6</f>
        <v/>
      </c>
      <c r="N7" s="3">
        <f>SUM(B7:M7)</f>
        <v/>
      </c>
    </row>
    <row r="8">
      <c r="A8" s="2" t="inlineStr">
        <is>
          <t>Closing Cash Balance (₹)</t>
        </is>
      </c>
      <c r="B8" s="3">
        <f>B1+B7</f>
        <v/>
      </c>
      <c r="C8" s="3">
        <f>C1+B7</f>
        <v/>
      </c>
      <c r="D8" s="3">
        <f>D1+B7</f>
        <v/>
      </c>
      <c r="E8" s="3">
        <f>E1+B7</f>
        <v/>
      </c>
      <c r="F8" s="3">
        <f>F1+B7</f>
        <v/>
      </c>
      <c r="G8" s="3">
        <f>G1+B7</f>
        <v/>
      </c>
      <c r="H8" s="3">
        <f>H1+B7</f>
        <v/>
      </c>
      <c r="I8" s="3">
        <f>I1+B7</f>
        <v/>
      </c>
      <c r="J8" s="3">
        <f>J1+B7</f>
        <v/>
      </c>
      <c r="K8" s="3">
        <f>K1+B7</f>
        <v/>
      </c>
      <c r="L8" s="3">
        <f>L1+B7</f>
        <v/>
      </c>
      <c r="M8" s="3">
        <f>M1+B7</f>
        <v/>
      </c>
      <c r="N8" s="9">
        <f>M8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PER-UNIT ECONOMICS (ShopSense)</t>
        </is>
      </c>
    </row>
    <row r="3">
      <c r="A3" s="2" t="inlineStr">
        <is>
          <t>Unit Price (₹)</t>
        </is>
      </c>
      <c r="B3" s="3">
        <f>Assumptions!B1</f>
        <v/>
      </c>
    </row>
    <row r="4">
      <c r="A4" s="2" t="inlineStr">
        <is>
          <t>COGS (₹)</t>
        </is>
      </c>
      <c r="B4" s="3">
        <f>Assumptions!B2</f>
        <v/>
      </c>
    </row>
    <row r="5">
      <c r="A5" s="2" t="inlineStr">
        <is>
          <t>Gross Profit per Unit (₹)</t>
        </is>
      </c>
      <c r="B5" s="3">
        <f>B2-B3</f>
        <v/>
      </c>
    </row>
    <row r="6">
      <c r="A6" s="2" t="inlineStr">
        <is>
          <t>Gross Margin %</t>
        </is>
      </c>
      <c r="B6" s="4">
        <f>B4/B2</f>
        <v/>
      </c>
    </row>
    <row r="9">
      <c r="A9" s="2" t="inlineStr">
        <is>
          <t>CUSTOMER LIFETIME VALUE (CLV) ANALYSIS</t>
        </is>
      </c>
    </row>
    <row r="10">
      <c r="A10" s="2" t="inlineStr">
        <is>
          <t>Year 1 Hardware Sale (₹)</t>
        </is>
      </c>
      <c r="B10" s="3">
        <f>Assumptions!B1</f>
        <v/>
      </c>
    </row>
    <row r="11">
      <c r="A11" s="2" t="inlineStr">
        <is>
          <t>Year 1 Service Revenue (₹)</t>
        </is>
      </c>
      <c r="B11" s="3" t="n">
        <v>5000</v>
      </c>
    </row>
    <row r="12">
      <c r="A12" s="2" t="inlineStr">
        <is>
          <t>Year 1 Upgrade Potential (₹)</t>
        </is>
      </c>
      <c r="B12" s="3" t="n">
        <v>2000</v>
      </c>
    </row>
    <row r="13">
      <c r="A13" s="2" t="inlineStr">
        <is>
          <t>Total LTV Year 1 (₹)</t>
        </is>
      </c>
      <c r="B13" s="3">
        <f>B8+B9+B10</f>
        <v/>
      </c>
    </row>
    <row r="15">
      <c r="A15" s="2" t="inlineStr">
        <is>
          <t>Customer Acquisition Cost (CAC)</t>
        </is>
      </c>
      <c r="B15" s="3">
        <f>Assumptions!B5</f>
        <v/>
      </c>
    </row>
    <row r="16">
      <c r="A16" s="2" t="inlineStr">
        <is>
          <t>LTV / CAC Ratio</t>
        </is>
      </c>
      <c r="B16" s="10">
        <f>IF(B15=0,999,B14/B15)</f>
        <v/>
      </c>
    </row>
    <row r="18">
      <c r="A18" s="2" t="inlineStr">
        <is>
          <t>Payback Period Calculation</t>
        </is>
      </c>
    </row>
    <row r="19">
      <c r="A19" s="2" t="inlineStr">
        <is>
          <t>Monthly Savings per Shop (₹)</t>
        </is>
      </c>
      <c r="B19" s="3" t="n">
        <v>8333</v>
      </c>
    </row>
    <row r="20">
      <c r="A20" s="2" t="inlineStr">
        <is>
          <t>Payback Period (months)</t>
        </is>
      </c>
      <c r="B20" s="5">
        <f>ROUNDUP(Assumptions!B1/B19, 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SCENARIO ANALYSIS</t>
        </is>
      </c>
      <c r="B1" s="1" t="inlineStr">
        <is>
          <t>Conservative</t>
        </is>
      </c>
      <c r="C1" s="1" t="inlineStr">
        <is>
          <t>Base Case</t>
        </is>
      </c>
      <c r="D1" s="1" t="inlineStr">
        <is>
          <t>Optimistic</t>
        </is>
      </c>
    </row>
    <row r="2">
      <c r="A2" s="2" t="inlineStr">
        <is>
          <t>Unit Multiplier</t>
        </is>
      </c>
      <c r="B2" s="11" t="n">
        <v>1</v>
      </c>
      <c r="C2" s="11" t="n">
        <v>1.5</v>
      </c>
      <c r="D2" s="11" t="n">
        <v>2.5</v>
      </c>
    </row>
    <row r="3">
      <c r="A3" s="2" t="inlineStr">
        <is>
          <t>Year 1 Revenue (₹)</t>
        </is>
      </c>
      <c r="B3" s="3">
        <f>Revenue!N5</f>
        <v/>
      </c>
      <c r="C3" s="3">
        <f>Revenue!N5*C2</f>
        <v/>
      </c>
      <c r="D3" s="3">
        <f>Revenue!N5*D2</f>
        <v/>
      </c>
    </row>
    <row r="4">
      <c r="A4" s="2" t="inlineStr">
        <is>
          <t>Total Units Sold</t>
        </is>
      </c>
      <c r="B4" s="5">
        <f>Revenue!N3</f>
        <v/>
      </c>
      <c r="C4" s="5">
        <f>Revenue!N3*C2</f>
        <v/>
      </c>
      <c r="D4" s="5">
        <f>Revenue!N3*D2</f>
        <v/>
      </c>
    </row>
    <row r="5">
      <c r="A5" s="2" t="inlineStr">
        <is>
          <t>Year 1 EBITDA (₹)</t>
        </is>
      </c>
      <c r="B5" s="3">
        <f>P&amp;L!N5</f>
        <v/>
      </c>
      <c r="C5" s="3">
        <f>P&amp;L!N2*C2-P&amp;L!N4*(C2-1)</f>
        <v/>
      </c>
      <c r="D5" s="3">
        <f>P&amp;L!N2*D2-P&amp;L!N4*(D2-1)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2026-03-28T21:41:15Z</dcterms:created>
  <dcterms:modified xmlns:dcterms="http://purl.org/dc/terms/" xmlns:xsi="http://www.w3.org/2001/XMLSchema-instance" xsi:type="dcterms:W3CDTF">2026-03-28T21:41:15Z</dcterms:modified>
</cp:coreProperties>
</file>